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ento_zošit"/>
  <mc:AlternateContent xmlns:mc="http://schemas.openxmlformats.org/markup-compatibility/2006">
    <mc:Choice Requires="x15">
      <x15ac:absPath xmlns:x15ac="http://schemas.microsoft.com/office/spreadsheetml/2010/11/ac" url="C:\Users\Vincent\Desktop\DBS REVAMPED\"/>
    </mc:Choice>
  </mc:AlternateContent>
  <xr:revisionPtr revIDLastSave="0" documentId="13_ncr:1_{960A251E-8178-4071-ADDD-7D0D6611986D}" xr6:coauthVersionLast="44" xr6:coauthVersionMax="44" xr10:uidLastSave="{00000000-0000-0000-0000-000000000000}"/>
  <bookViews>
    <workbookView xWindow="-120" yWindow="-120" windowWidth="20640" windowHeight="11160" activeTab="1" xr2:uid="{00000000-000D-0000-FFFF-FFFF00000000}"/>
  </bookViews>
  <sheets>
    <sheet name="PLAYER RATING" sheetId="1" r:id="rId1"/>
    <sheet name="OVERALL RA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2" i="2" l="1"/>
  <c r="D14" i="2"/>
  <c r="D19" i="2" l="1"/>
  <c r="D21" i="2" s="1"/>
  <c r="D15" i="2"/>
  <c r="D17" i="2" s="1"/>
  <c r="D11" i="2"/>
  <c r="D13" i="2" s="1"/>
  <c r="D9" i="2"/>
  <c r="D10" i="2"/>
  <c r="D7" i="2"/>
  <c r="D18" i="2" l="1"/>
  <c r="D23" i="1"/>
  <c r="D25" i="1" s="1"/>
  <c r="G23" i="1"/>
  <c r="G25" i="1" s="1"/>
  <c r="F23" i="1"/>
  <c r="F25" i="1" s="1"/>
  <c r="E23" i="1"/>
  <c r="E25" i="1" s="1"/>
  <c r="C23" i="2" l="1"/>
</calcChain>
</file>

<file path=xl/sharedStrings.xml><?xml version="1.0" encoding="utf-8"?>
<sst xmlns="http://schemas.openxmlformats.org/spreadsheetml/2006/main" count="63" uniqueCount="32">
  <si>
    <t>SKILLS</t>
  </si>
  <si>
    <t>LVL</t>
  </si>
  <si>
    <t>0-99</t>
  </si>
  <si>
    <t>A</t>
  </si>
  <si>
    <t>M</t>
  </si>
  <si>
    <t>D</t>
  </si>
  <si>
    <t>G</t>
  </si>
  <si>
    <t>Peace</t>
  </si>
  <si>
    <t>Dribbling</t>
  </si>
  <si>
    <t>Shooting</t>
  </si>
  <si>
    <t>Physical</t>
  </si>
  <si>
    <t>Defending</t>
  </si>
  <si>
    <t>Passing</t>
  </si>
  <si>
    <t>Reflexes</t>
  </si>
  <si>
    <t>Diving</t>
  </si>
  <si>
    <t>Handling</t>
  </si>
  <si>
    <t>Position</t>
  </si>
  <si>
    <t>Field skill</t>
  </si>
  <si>
    <t>Total</t>
  </si>
  <si>
    <t>PLAYER</t>
  </si>
  <si>
    <t>SKILL</t>
  </si>
  <si>
    <t>BONUS %</t>
  </si>
  <si>
    <t>A %</t>
  </si>
  <si>
    <t>M %</t>
  </si>
  <si>
    <t>D %</t>
  </si>
  <si>
    <t>G %</t>
  </si>
  <si>
    <t>TOTAL PLAYERS</t>
  </si>
  <si>
    <t>AVERAGE SKILL</t>
  </si>
  <si>
    <t>TOTAL</t>
  </si>
  <si>
    <t>FOOTBALL FIELD</t>
  </si>
  <si>
    <t>PLAYERS</t>
  </si>
  <si>
    <t>FIELD EFFECTIVITY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</si>
</sst>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4"/>
      <color theme="1"/>
      <name val="Abadi"/>
      <family val="2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/>
      <diagonal/>
    </border>
    <border>
      <left style="thick">
        <color theme="5" tint="-0.499984740745262"/>
      </left>
      <right style="thick">
        <color theme="5" tint="-0.499984740745262"/>
      </right>
      <top/>
      <bottom/>
      <diagonal/>
    </border>
    <border>
      <left style="thick">
        <color theme="5" tint="-0.499984740745262"/>
      </left>
      <right style="thick">
        <color theme="5" tint="-0.499984740745262"/>
      </right>
      <top/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 style="thick">
        <color theme="4" tint="0.59996337778862885"/>
      </left>
      <right style="thick">
        <color theme="4" tint="0.59996337778862885"/>
      </right>
      <top style="thick">
        <color theme="4" tint="0.59996337778862885"/>
      </top>
      <bottom/>
      <diagonal/>
    </border>
    <border>
      <left style="thick">
        <color theme="4" tint="0.59996337778862885"/>
      </left>
      <right style="thick">
        <color theme="4" tint="0.59996337778862885"/>
      </right>
      <top/>
      <bottom/>
      <diagonal/>
    </border>
    <border>
      <left style="thick">
        <color theme="4" tint="0.59996337778862885"/>
      </left>
      <right style="thick">
        <color theme="4" tint="0.59996337778862885"/>
      </right>
      <top/>
      <bottom style="thick">
        <color theme="4" tint="0.59996337778862885"/>
      </bottom>
      <diagonal/>
    </border>
    <border>
      <left style="thick">
        <color theme="4" tint="0.59996337778862885"/>
      </left>
      <right/>
      <top style="thick">
        <color theme="4" tint="0.59996337778862885"/>
      </top>
      <bottom/>
      <diagonal/>
    </border>
    <border>
      <left style="thick">
        <color theme="4" tint="0.59996337778862885"/>
      </left>
      <right/>
      <top/>
      <bottom/>
      <diagonal/>
    </border>
    <border>
      <left style="thick">
        <color theme="4" tint="0.59996337778862885"/>
      </left>
      <right/>
      <top/>
      <bottom style="thick">
        <color theme="4" tint="0.59996337778862885"/>
      </bottom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 style="thick">
        <color theme="9" tint="-0.499984740745262"/>
      </right>
      <top/>
      <bottom/>
      <diagonal/>
    </border>
    <border>
      <left style="thick">
        <color theme="9" tint="-0.499984740745262"/>
      </left>
      <right style="thick">
        <color theme="9" tint="-0.499984740745262"/>
      </right>
      <top/>
      <bottom style="thick">
        <color theme="9" tint="-0.499984740745262"/>
      </bottom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 style="thick">
        <color theme="9" tint="-0.499984740745262"/>
      </left>
      <right/>
      <top/>
      <bottom/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vertical="center"/>
    </xf>
    <xf numFmtId="1" fontId="0" fillId="5" borderId="8" xfId="0" applyNumberFormat="1" applyFill="1" applyBorder="1" applyAlignment="1">
      <alignment vertical="center"/>
    </xf>
    <xf numFmtId="1" fontId="0" fillId="4" borderId="0" xfId="0" applyNumberFormat="1" applyFill="1" applyBorder="1" applyAlignment="1">
      <alignment vertical="center"/>
    </xf>
    <xf numFmtId="1" fontId="0" fillId="3" borderId="4" xfId="0" applyNumberForma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1" fontId="9" fillId="3" borderId="8" xfId="0" applyNumberFormat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4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1" fontId="0" fillId="4" borderId="9" xfId="0" applyNumberForma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1" fontId="8" fillId="6" borderId="6" xfId="0" applyNumberFormat="1" applyFont="1" applyFill="1" applyBorder="1" applyAlignment="1">
      <alignment horizontal="center" vertical="center"/>
    </xf>
    <xf numFmtId="1" fontId="8" fillId="6" borderId="7" xfId="0" applyNumberFormat="1" applyFont="1" applyFill="1" applyBorder="1" applyAlignment="1">
      <alignment horizontal="center" vertical="center"/>
    </xf>
    <xf numFmtId="1" fontId="8" fillId="6" borderId="8" xfId="0" applyNumberFormat="1" applyFont="1" applyFill="1" applyBorder="1" applyAlignment="1">
      <alignment horizontal="center" vertical="center"/>
    </xf>
    <xf numFmtId="1" fontId="8" fillId="6" borderId="9" xfId="0" applyNumberFormat="1" applyFont="1" applyFill="1" applyBorder="1" applyAlignment="1">
      <alignment horizontal="center" vertical="center"/>
    </xf>
    <xf numFmtId="1" fontId="8" fillId="6" borderId="16" xfId="0" applyNumberFormat="1" applyFont="1" applyFill="1" applyBorder="1" applyAlignment="1">
      <alignment horizontal="center" vertical="center"/>
    </xf>
    <xf numFmtId="1" fontId="8" fillId="6" borderId="4" xfId="0" applyNumberFormat="1" applyFont="1" applyFill="1" applyBorder="1" applyAlignment="1">
      <alignment horizontal="center" vertical="center"/>
    </xf>
    <xf numFmtId="1" fontId="8" fillId="6" borderId="2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G93"/>
  <sheetViews>
    <sheetView zoomScale="85" zoomScaleNormal="85" workbookViewId="0">
      <selection activeCell="D25" sqref="D25:D26"/>
    </sheetView>
  </sheetViews>
  <sheetFormatPr defaultRowHeight="15" x14ac:dyDescent="0.25"/>
  <cols>
    <col min="4" max="4" width="9.7109375" customWidth="1"/>
    <col min="5" max="5" width="11.5703125" bestFit="1" customWidth="1"/>
    <col min="6" max="7" width="9.7109375" bestFit="1" customWidth="1"/>
    <col min="23" max="23" width="11.85546875" bestFit="1" customWidth="1"/>
  </cols>
  <sheetData>
    <row r="1" spans="1:7" ht="14.45" customHeight="1" x14ac:dyDescent="0.25">
      <c r="A1" s="23" t="s">
        <v>0</v>
      </c>
      <c r="B1" s="23"/>
      <c r="C1" s="1" t="s">
        <v>1</v>
      </c>
      <c r="D1" s="23" t="s">
        <v>22</v>
      </c>
      <c r="E1" s="23" t="s">
        <v>23</v>
      </c>
      <c r="F1" s="23" t="s">
        <v>24</v>
      </c>
      <c r="G1" s="23" t="s">
        <v>25</v>
      </c>
    </row>
    <row r="2" spans="1:7" ht="14.45" customHeight="1" x14ac:dyDescent="0.25">
      <c r="A2" s="23"/>
      <c r="B2" s="23"/>
      <c r="C2" s="1" t="s">
        <v>2</v>
      </c>
      <c r="D2" s="23"/>
      <c r="E2" s="23"/>
      <c r="F2" s="23"/>
      <c r="G2" s="23"/>
    </row>
    <row r="3" spans="1:7" ht="14.45" customHeight="1" x14ac:dyDescent="0.25">
      <c r="A3" s="22" t="s">
        <v>7</v>
      </c>
      <c r="B3" s="22"/>
      <c r="C3" s="20">
        <v>99</v>
      </c>
      <c r="D3" s="18">
        <v>25</v>
      </c>
      <c r="E3" s="18">
        <v>10</v>
      </c>
      <c r="F3" s="18">
        <v>10</v>
      </c>
      <c r="G3" s="18">
        <v>2</v>
      </c>
    </row>
    <row r="4" spans="1:7" ht="14.45" customHeight="1" x14ac:dyDescent="0.25">
      <c r="A4" s="22"/>
      <c r="B4" s="22"/>
      <c r="C4" s="20"/>
      <c r="D4" s="18"/>
      <c r="E4" s="18"/>
      <c r="F4" s="18"/>
      <c r="G4" s="18"/>
    </row>
    <row r="5" spans="1:7" ht="14.45" customHeight="1" x14ac:dyDescent="0.25">
      <c r="A5" s="19" t="s">
        <v>8</v>
      </c>
      <c r="B5" s="19"/>
      <c r="C5" s="20">
        <v>99</v>
      </c>
      <c r="D5" s="21">
        <v>25</v>
      </c>
      <c r="E5" s="21">
        <v>20</v>
      </c>
      <c r="F5" s="21">
        <v>5</v>
      </c>
      <c r="G5" s="21">
        <v>2</v>
      </c>
    </row>
    <row r="6" spans="1:7" ht="14.45" customHeight="1" x14ac:dyDescent="0.25">
      <c r="A6" s="19"/>
      <c r="B6" s="19"/>
      <c r="C6" s="20"/>
      <c r="D6" s="21"/>
      <c r="E6" s="21"/>
      <c r="F6" s="21"/>
      <c r="G6" s="21"/>
    </row>
    <row r="7" spans="1:7" ht="14.45" customHeight="1" x14ac:dyDescent="0.25">
      <c r="A7" s="22" t="s">
        <v>9</v>
      </c>
      <c r="B7" s="22"/>
      <c r="C7" s="20">
        <v>99</v>
      </c>
      <c r="D7" s="18">
        <v>25</v>
      </c>
      <c r="E7" s="18">
        <v>20</v>
      </c>
      <c r="F7" s="18">
        <v>5</v>
      </c>
      <c r="G7" s="18">
        <v>2</v>
      </c>
    </row>
    <row r="8" spans="1:7" ht="14.45" customHeight="1" x14ac:dyDescent="0.25">
      <c r="A8" s="22"/>
      <c r="B8" s="22"/>
      <c r="C8" s="20"/>
      <c r="D8" s="18"/>
      <c r="E8" s="18"/>
      <c r="F8" s="18"/>
      <c r="G8" s="18"/>
    </row>
    <row r="9" spans="1:7" ht="14.45" customHeight="1" x14ac:dyDescent="0.25">
      <c r="A9" s="19" t="s">
        <v>10</v>
      </c>
      <c r="B9" s="19"/>
      <c r="C9" s="20">
        <v>99</v>
      </c>
      <c r="D9" s="21">
        <v>10</v>
      </c>
      <c r="E9" s="21">
        <v>10</v>
      </c>
      <c r="F9" s="21">
        <v>30</v>
      </c>
      <c r="G9" s="21">
        <v>2</v>
      </c>
    </row>
    <row r="10" spans="1:7" ht="14.45" customHeight="1" x14ac:dyDescent="0.25">
      <c r="A10" s="19"/>
      <c r="B10" s="19"/>
      <c r="C10" s="20"/>
      <c r="D10" s="21"/>
      <c r="E10" s="21"/>
      <c r="F10" s="21"/>
      <c r="G10" s="21"/>
    </row>
    <row r="11" spans="1:7" ht="14.45" customHeight="1" x14ac:dyDescent="0.25">
      <c r="A11" s="22" t="s">
        <v>11</v>
      </c>
      <c r="B11" s="22"/>
      <c r="C11" s="20">
        <v>99</v>
      </c>
      <c r="D11" s="18">
        <v>5</v>
      </c>
      <c r="E11" s="18">
        <v>20</v>
      </c>
      <c r="F11" s="18">
        <v>30</v>
      </c>
      <c r="G11" s="18">
        <v>2</v>
      </c>
    </row>
    <row r="12" spans="1:7" ht="14.45" customHeight="1" x14ac:dyDescent="0.25">
      <c r="A12" s="22"/>
      <c r="B12" s="22"/>
      <c r="C12" s="20"/>
      <c r="D12" s="18"/>
      <c r="E12" s="18"/>
      <c r="F12" s="18"/>
      <c r="G12" s="18"/>
    </row>
    <row r="13" spans="1:7" ht="14.45" customHeight="1" x14ac:dyDescent="0.25">
      <c r="A13" s="19" t="s">
        <v>12</v>
      </c>
      <c r="B13" s="19"/>
      <c r="C13" s="20">
        <v>99</v>
      </c>
      <c r="D13" s="21">
        <v>10</v>
      </c>
      <c r="E13" s="21">
        <v>20</v>
      </c>
      <c r="F13" s="21">
        <v>10</v>
      </c>
      <c r="G13" s="21">
        <v>5</v>
      </c>
    </row>
    <row r="14" spans="1:7" ht="14.45" customHeight="1" x14ac:dyDescent="0.25">
      <c r="A14" s="19"/>
      <c r="B14" s="19"/>
      <c r="C14" s="20"/>
      <c r="D14" s="21"/>
      <c r="E14" s="21"/>
      <c r="F14" s="21"/>
      <c r="G14" s="21"/>
    </row>
    <row r="15" spans="1:7" ht="14.45" customHeight="1" x14ac:dyDescent="0.25">
      <c r="A15" s="22" t="s">
        <v>13</v>
      </c>
      <c r="B15" s="22"/>
      <c r="C15" s="20">
        <v>99</v>
      </c>
      <c r="D15" s="18">
        <v>0</v>
      </c>
      <c r="E15" s="18">
        <v>0</v>
      </c>
      <c r="F15" s="18">
        <v>2</v>
      </c>
      <c r="G15" s="18">
        <v>25</v>
      </c>
    </row>
    <row r="16" spans="1:7" ht="14.45" customHeight="1" x14ac:dyDescent="0.25">
      <c r="A16" s="22"/>
      <c r="B16" s="22"/>
      <c r="C16" s="20"/>
      <c r="D16" s="18"/>
      <c r="E16" s="18"/>
      <c r="F16" s="18"/>
      <c r="G16" s="18"/>
    </row>
    <row r="17" spans="1:7" ht="14.45" customHeight="1" x14ac:dyDescent="0.25">
      <c r="A17" s="19" t="s">
        <v>14</v>
      </c>
      <c r="B17" s="19"/>
      <c r="C17" s="20">
        <v>99</v>
      </c>
      <c r="D17" s="21">
        <v>0</v>
      </c>
      <c r="E17" s="21">
        <v>0</v>
      </c>
      <c r="F17" s="21">
        <v>2</v>
      </c>
      <c r="G17" s="21">
        <v>25</v>
      </c>
    </row>
    <row r="18" spans="1:7" ht="14.45" customHeight="1" x14ac:dyDescent="0.25">
      <c r="A18" s="19"/>
      <c r="B18" s="19"/>
      <c r="C18" s="20"/>
      <c r="D18" s="21"/>
      <c r="E18" s="21"/>
      <c r="F18" s="21"/>
      <c r="G18" s="21"/>
    </row>
    <row r="19" spans="1:7" ht="14.45" customHeight="1" x14ac:dyDescent="0.25">
      <c r="A19" s="22" t="s">
        <v>15</v>
      </c>
      <c r="B19" s="22"/>
      <c r="C19" s="20">
        <v>99</v>
      </c>
      <c r="D19" s="18">
        <v>0</v>
      </c>
      <c r="E19" s="18">
        <v>0</v>
      </c>
      <c r="F19" s="18">
        <v>2</v>
      </c>
      <c r="G19" s="18">
        <v>20</v>
      </c>
    </row>
    <row r="20" spans="1:7" ht="14.45" customHeight="1" x14ac:dyDescent="0.25">
      <c r="A20" s="22"/>
      <c r="B20" s="22"/>
      <c r="C20" s="20"/>
      <c r="D20" s="18"/>
      <c r="E20" s="18"/>
      <c r="F20" s="18"/>
      <c r="G20" s="18"/>
    </row>
    <row r="21" spans="1:7" ht="14.45" customHeight="1" x14ac:dyDescent="0.25">
      <c r="A21" s="19" t="s">
        <v>16</v>
      </c>
      <c r="B21" s="19"/>
      <c r="C21" s="20">
        <v>99</v>
      </c>
      <c r="D21" s="21">
        <v>0</v>
      </c>
      <c r="E21" s="21">
        <v>0</v>
      </c>
      <c r="F21" s="21">
        <v>4</v>
      </c>
      <c r="G21" s="21">
        <v>15</v>
      </c>
    </row>
    <row r="22" spans="1:7" ht="14.45" customHeight="1" x14ac:dyDescent="0.25">
      <c r="A22" s="19"/>
      <c r="B22" s="19"/>
      <c r="C22" s="20"/>
      <c r="D22" s="21"/>
      <c r="E22" s="21"/>
      <c r="F22" s="21"/>
      <c r="G22" s="21"/>
    </row>
    <row r="23" spans="1:7" ht="14.45" customHeight="1" x14ac:dyDescent="0.25">
      <c r="A23" s="23" t="s">
        <v>18</v>
      </c>
      <c r="B23" s="23"/>
      <c r="C23" s="25"/>
      <c r="D23" s="24">
        <f>((C3/100)*D3+(C5/100)*D5+(C7/100)*D5+(C7/100)*D7+(C9/100)*D9+(C11/100)*D11+(C13/100)*D13+(C15/100)*D15+(C17/100)*D17+(C19/100)*D19+(C21/100)*D21)</f>
        <v>123.75000000000001</v>
      </c>
      <c r="E23" s="24">
        <f>((C3/100)*E3+(C5/100)*E5+(C7/100)*E5+(C7/100)*E7+(C9/100)*E9+(C11/100)*E11+(C13/100)*E13+(C15/100)*E15+(C17/100)*E17+(C19/100)*E19+(C21/100)*E21)</f>
        <v>118.8</v>
      </c>
      <c r="F23" s="24">
        <f>((C3/100)*F3+(C5/100)*F5+(C7/100)*F5+(C7/100)*F7+(C9/100)*F9+(C11/100)*F11+(C13/100)*F13+(C15/100)*F15+(C17/100)*F17+(C19/100)*F19+(C21/100)*F21)</f>
        <v>103.95000000000002</v>
      </c>
      <c r="G23" s="24">
        <f>((C3/100)*G3+(C5/100)*G5+(C7/100)*G5+(C7/100)*G7+(C9/100)*G9+(C11/100)*G11+(C13/100)*G13+(C15/100)*G15+(C17/100)*G17+(C19/100)*G19+(C21/100)*G21)</f>
        <v>100.97999999999999</v>
      </c>
    </row>
    <row r="24" spans="1:7" ht="14.45" customHeight="1" x14ac:dyDescent="0.25">
      <c r="A24" s="23"/>
      <c r="B24" s="23"/>
      <c r="C24" s="25"/>
      <c r="D24" s="24"/>
      <c r="E24" s="24"/>
      <c r="F24" s="24"/>
      <c r="G24" s="24"/>
    </row>
    <row r="25" spans="1:7" ht="15" customHeight="1" x14ac:dyDescent="0.25">
      <c r="A25" s="23" t="s">
        <v>17</v>
      </c>
      <c r="B25" s="23"/>
      <c r="C25" s="25"/>
      <c r="D25" s="24">
        <f>(D23*100)/123.75</f>
        <v>100.00000000000001</v>
      </c>
      <c r="E25" s="24">
        <f>(E23*100)/118.8</f>
        <v>100</v>
      </c>
      <c r="F25" s="24">
        <f>(F23*100)/103.95</f>
        <v>100.00000000000001</v>
      </c>
      <c r="G25" s="24">
        <f>(G23*100)/100.98</f>
        <v>99.999999999999972</v>
      </c>
    </row>
    <row r="26" spans="1:7" ht="14.45" customHeight="1" x14ac:dyDescent="0.25">
      <c r="A26" s="23"/>
      <c r="B26" s="23"/>
      <c r="C26" s="25"/>
      <c r="D26" s="24"/>
      <c r="E26" s="24"/>
      <c r="F26" s="24"/>
      <c r="G26" s="24"/>
    </row>
    <row r="27" spans="1:7" ht="14.45" customHeight="1" x14ac:dyDescent="0.25"/>
    <row r="28" spans="1:7" ht="14.45" customHeight="1" x14ac:dyDescent="0.25"/>
    <row r="85" ht="14.45" customHeight="1" x14ac:dyDescent="0.25"/>
    <row r="86" ht="14.45" customHeight="1" x14ac:dyDescent="0.25"/>
    <row r="87" ht="15" customHeight="1" x14ac:dyDescent="0.25"/>
    <row r="88" ht="14.45" customHeight="1" x14ac:dyDescent="0.25"/>
    <row r="89" ht="14.45" customHeight="1" x14ac:dyDescent="0.25"/>
    <row r="90" ht="14.45" customHeight="1" x14ac:dyDescent="0.25"/>
    <row r="91" ht="15" customHeight="1" x14ac:dyDescent="0.25"/>
    <row r="92" ht="14.45" customHeight="1" x14ac:dyDescent="0.25"/>
    <row r="93" ht="14.45" customHeight="1" x14ac:dyDescent="0.25"/>
  </sheetData>
  <mergeCells count="76">
    <mergeCell ref="A25:B26"/>
    <mergeCell ref="D23:D24"/>
    <mergeCell ref="E23:E24"/>
    <mergeCell ref="F23:F24"/>
    <mergeCell ref="G23:G24"/>
    <mergeCell ref="A23:B24"/>
    <mergeCell ref="D25:D26"/>
    <mergeCell ref="E25:E26"/>
    <mergeCell ref="F25:F26"/>
    <mergeCell ref="G25:G26"/>
    <mergeCell ref="C23:C26"/>
    <mergeCell ref="G21:G22"/>
    <mergeCell ref="A19:B20"/>
    <mergeCell ref="C19:C20"/>
    <mergeCell ref="D19:D20"/>
    <mergeCell ref="E19:E20"/>
    <mergeCell ref="F19:F20"/>
    <mergeCell ref="G19:G20"/>
    <mergeCell ref="A21:B22"/>
    <mergeCell ref="C21:C22"/>
    <mergeCell ref="D21:D22"/>
    <mergeCell ref="E21:E22"/>
    <mergeCell ref="F21:F22"/>
    <mergeCell ref="G17:G18"/>
    <mergeCell ref="A15:B16"/>
    <mergeCell ref="C15:C16"/>
    <mergeCell ref="D15:D16"/>
    <mergeCell ref="E15:E16"/>
    <mergeCell ref="F15:F16"/>
    <mergeCell ref="G15:G16"/>
    <mergeCell ref="A17:B18"/>
    <mergeCell ref="C17:C18"/>
    <mergeCell ref="D17:D18"/>
    <mergeCell ref="E17:E18"/>
    <mergeCell ref="F17:F18"/>
    <mergeCell ref="G13:G14"/>
    <mergeCell ref="A11:B12"/>
    <mergeCell ref="C11:C12"/>
    <mergeCell ref="D11:D12"/>
    <mergeCell ref="E11:E12"/>
    <mergeCell ref="F11:F12"/>
    <mergeCell ref="G11:G12"/>
    <mergeCell ref="A13:B14"/>
    <mergeCell ref="C13:C14"/>
    <mergeCell ref="D13:D14"/>
    <mergeCell ref="E13:E14"/>
    <mergeCell ref="F13:F14"/>
    <mergeCell ref="D7:D8"/>
    <mergeCell ref="E7:E8"/>
    <mergeCell ref="F7:F8"/>
    <mergeCell ref="G7:G8"/>
    <mergeCell ref="A9:B10"/>
    <mergeCell ref="C9:C10"/>
    <mergeCell ref="D9:D10"/>
    <mergeCell ref="E9:E10"/>
    <mergeCell ref="F9:F10"/>
    <mergeCell ref="G9:G10"/>
    <mergeCell ref="A7:B8"/>
    <mergeCell ref="C7:C8"/>
    <mergeCell ref="A1:B2"/>
    <mergeCell ref="D1:D2"/>
    <mergeCell ref="E1:E2"/>
    <mergeCell ref="F1:F2"/>
    <mergeCell ref="G1:G2"/>
    <mergeCell ref="G3:G4"/>
    <mergeCell ref="A5:B6"/>
    <mergeCell ref="C5:C6"/>
    <mergeCell ref="D5:D6"/>
    <mergeCell ref="E5:E6"/>
    <mergeCell ref="F5:F6"/>
    <mergeCell ref="G5:G6"/>
    <mergeCell ref="A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DBFD-1649-4356-B36D-BE0D9811C1D8}">
  <sheetPr codeName="Hárok2"/>
  <dimension ref="A1:P24"/>
  <sheetViews>
    <sheetView tabSelected="1" topLeftCell="A3" workbookViewId="0">
      <selection activeCell="R18" sqref="R18"/>
    </sheetView>
  </sheetViews>
  <sheetFormatPr defaultRowHeight="15" x14ac:dyDescent="0.25"/>
  <sheetData>
    <row r="1" spans="1:16" ht="15.75" thickBot="1" x14ac:dyDescent="0.3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</row>
    <row r="2" spans="1:16" x14ac:dyDescent="0.25">
      <c r="A2" s="33" t="s">
        <v>6</v>
      </c>
      <c r="B2" s="34"/>
      <c r="C2" s="34"/>
      <c r="D2" s="35"/>
      <c r="E2" s="33" t="s">
        <v>5</v>
      </c>
      <c r="F2" s="34"/>
      <c r="G2" s="34"/>
      <c r="H2" s="35"/>
      <c r="I2" s="33" t="s">
        <v>4</v>
      </c>
      <c r="J2" s="34"/>
      <c r="K2" s="34"/>
      <c r="L2" s="35"/>
      <c r="M2" s="33" t="s">
        <v>3</v>
      </c>
      <c r="N2" s="34"/>
      <c r="O2" s="34"/>
      <c r="P2" s="35"/>
    </row>
    <row r="3" spans="1:16" ht="15.75" thickBot="1" x14ac:dyDescent="0.3">
      <c r="A3" s="3" t="s">
        <v>19</v>
      </c>
      <c r="B3" s="2" t="s">
        <v>20</v>
      </c>
      <c r="C3" s="46" t="s">
        <v>21</v>
      </c>
      <c r="D3" s="47"/>
      <c r="E3" s="3" t="s">
        <v>19</v>
      </c>
      <c r="F3" s="2" t="s">
        <v>20</v>
      </c>
      <c r="G3" s="46" t="s">
        <v>21</v>
      </c>
      <c r="H3" s="47"/>
      <c r="I3" s="3" t="s">
        <v>19</v>
      </c>
      <c r="J3" s="2" t="s">
        <v>20</v>
      </c>
      <c r="K3" s="46" t="s">
        <v>21</v>
      </c>
      <c r="L3" s="47"/>
      <c r="M3" s="3" t="s">
        <v>19</v>
      </c>
      <c r="N3" s="2" t="s">
        <v>20</v>
      </c>
      <c r="O3" s="46" t="s">
        <v>21</v>
      </c>
      <c r="P3" s="47"/>
    </row>
    <row r="4" spans="1:16" x14ac:dyDescent="0.25">
      <c r="A4" s="13">
        <v>0</v>
      </c>
      <c r="B4" s="14">
        <v>0</v>
      </c>
      <c r="C4" s="55">
        <v>-100</v>
      </c>
      <c r="D4" s="56"/>
      <c r="E4" s="13">
        <v>0</v>
      </c>
      <c r="F4" s="14">
        <v>0</v>
      </c>
      <c r="G4" s="55">
        <v>-100</v>
      </c>
      <c r="H4" s="56"/>
      <c r="I4" s="6">
        <v>0</v>
      </c>
      <c r="J4" s="10">
        <v>0</v>
      </c>
      <c r="K4" s="28">
        <v>-100</v>
      </c>
      <c r="L4" s="29"/>
      <c r="M4" s="6">
        <v>0</v>
      </c>
      <c r="N4" s="10">
        <v>0</v>
      </c>
      <c r="O4" s="28">
        <v>-100</v>
      </c>
      <c r="P4" s="29"/>
    </row>
    <row r="5" spans="1:16" ht="15.75" thickBot="1" x14ac:dyDescent="0.3">
      <c r="A5" s="15">
        <v>1</v>
      </c>
      <c r="B5" s="9">
        <v>100</v>
      </c>
      <c r="C5" s="53">
        <v>0</v>
      </c>
      <c r="D5" s="54"/>
      <c r="E5" s="5">
        <v>1</v>
      </c>
      <c r="F5" s="8">
        <v>100</v>
      </c>
      <c r="G5" s="26">
        <v>-20</v>
      </c>
      <c r="H5" s="27"/>
      <c r="I5" s="5">
        <v>1</v>
      </c>
      <c r="J5" s="8">
        <v>100</v>
      </c>
      <c r="K5" s="26">
        <v>-20</v>
      </c>
      <c r="L5" s="27"/>
      <c r="M5" s="5">
        <v>1</v>
      </c>
      <c r="N5" s="8">
        <v>100</v>
      </c>
      <c r="O5" s="26">
        <v>-10</v>
      </c>
      <c r="P5" s="27"/>
    </row>
    <row r="6" spans="1:16" ht="15.75" thickBot="1" x14ac:dyDescent="0.3">
      <c r="A6" s="30" t="s">
        <v>31</v>
      </c>
      <c r="B6" s="31"/>
      <c r="C6" s="31"/>
      <c r="D6" s="32"/>
      <c r="E6" s="6">
        <v>2</v>
      </c>
      <c r="F6" s="8">
        <v>100</v>
      </c>
      <c r="G6" s="28">
        <v>-10</v>
      </c>
      <c r="H6" s="29"/>
      <c r="I6" s="6">
        <v>2</v>
      </c>
      <c r="J6" s="8">
        <v>100</v>
      </c>
      <c r="K6" s="28">
        <v>-10</v>
      </c>
      <c r="L6" s="29"/>
      <c r="M6" s="6">
        <v>2</v>
      </c>
      <c r="N6" s="8">
        <v>100</v>
      </c>
      <c r="O6" s="28">
        <v>0</v>
      </c>
      <c r="P6" s="29"/>
    </row>
    <row r="7" spans="1:16" x14ac:dyDescent="0.25">
      <c r="A7" s="42" t="s">
        <v>6</v>
      </c>
      <c r="B7" s="52" t="s">
        <v>26</v>
      </c>
      <c r="C7" s="52"/>
      <c r="D7" s="11">
        <f>IF((F16+I16+L16+O16)&gt; 11, "Too many players",F16)</f>
        <v>1</v>
      </c>
      <c r="E7" s="5">
        <v>3</v>
      </c>
      <c r="F7" s="8">
        <v>100</v>
      </c>
      <c r="G7" s="26">
        <v>0</v>
      </c>
      <c r="H7" s="27"/>
      <c r="I7" s="5">
        <v>3</v>
      </c>
      <c r="J7" s="8">
        <v>100</v>
      </c>
      <c r="K7" s="26">
        <v>0</v>
      </c>
      <c r="L7" s="27"/>
      <c r="M7" s="5">
        <v>3</v>
      </c>
      <c r="N7" s="8">
        <v>0</v>
      </c>
      <c r="O7" s="26">
        <v>10</v>
      </c>
      <c r="P7" s="27"/>
    </row>
    <row r="8" spans="1:16" x14ac:dyDescent="0.25">
      <c r="A8" s="40"/>
      <c r="B8" s="48" t="s">
        <v>27</v>
      </c>
      <c r="C8" s="48"/>
      <c r="D8" s="4">
        <v>78</v>
      </c>
      <c r="E8" s="6">
        <v>4</v>
      </c>
      <c r="F8" s="8">
        <v>100</v>
      </c>
      <c r="G8" s="28">
        <v>10</v>
      </c>
      <c r="H8" s="29"/>
      <c r="I8" s="6">
        <v>4</v>
      </c>
      <c r="J8" s="8">
        <v>100</v>
      </c>
      <c r="K8" s="28">
        <v>10</v>
      </c>
      <c r="L8" s="29"/>
      <c r="M8" s="6">
        <v>4</v>
      </c>
      <c r="N8" s="8">
        <v>0</v>
      </c>
      <c r="O8" s="28">
        <v>20</v>
      </c>
      <c r="P8" s="29"/>
    </row>
    <row r="9" spans="1:16" x14ac:dyDescent="0.25">
      <c r="A9" s="40"/>
      <c r="B9" s="48" t="s">
        <v>21</v>
      </c>
      <c r="C9" s="48"/>
      <c r="D9" s="4">
        <f>IF((F16+I16+L16+O16)&gt; 11, "Too many players",IF(F16=1,C5,IF(F16=0,C4)))</f>
        <v>0</v>
      </c>
      <c r="E9" s="5">
        <v>5</v>
      </c>
      <c r="F9" s="8">
        <v>0</v>
      </c>
      <c r="G9" s="26">
        <v>20</v>
      </c>
      <c r="H9" s="27"/>
      <c r="I9" s="5">
        <v>5</v>
      </c>
      <c r="J9" s="8">
        <v>0</v>
      </c>
      <c r="K9" s="26">
        <v>20</v>
      </c>
      <c r="L9" s="27"/>
      <c r="M9" s="5">
        <v>5</v>
      </c>
      <c r="N9" s="8">
        <v>0</v>
      </c>
      <c r="O9" s="26">
        <v>30</v>
      </c>
      <c r="P9" s="27"/>
    </row>
    <row r="10" spans="1:16" ht="15.75" thickBot="1" x14ac:dyDescent="0.3">
      <c r="A10" s="41"/>
      <c r="B10" s="43" t="s">
        <v>28</v>
      </c>
      <c r="C10" s="43"/>
      <c r="D10" s="12">
        <f>IF((F16+I16+L16+O16)&gt; 11, "Too many players",(D8/100)*D9+D8)</f>
        <v>78</v>
      </c>
      <c r="E10" s="6">
        <v>6</v>
      </c>
      <c r="F10" s="8">
        <v>0</v>
      </c>
      <c r="G10" s="28">
        <v>30</v>
      </c>
      <c r="H10" s="29"/>
      <c r="I10" s="6">
        <v>6</v>
      </c>
      <c r="J10" s="8">
        <v>0</v>
      </c>
      <c r="K10" s="28">
        <v>30</v>
      </c>
      <c r="L10" s="29"/>
      <c r="M10" s="6">
        <v>6</v>
      </c>
      <c r="N10" s="8">
        <v>0</v>
      </c>
      <c r="O10" s="28">
        <v>40</v>
      </c>
      <c r="P10" s="29"/>
    </row>
    <row r="11" spans="1:16" x14ac:dyDescent="0.25">
      <c r="A11" s="42" t="s">
        <v>5</v>
      </c>
      <c r="B11" s="52" t="s">
        <v>26</v>
      </c>
      <c r="C11" s="52"/>
      <c r="D11" s="11">
        <f>IF((F16+I16+L16+O16)&gt; 11, "Too many players",I16)</f>
        <v>4</v>
      </c>
      <c r="E11" s="5">
        <v>7</v>
      </c>
      <c r="F11" s="8">
        <v>0</v>
      </c>
      <c r="G11" s="26">
        <v>40</v>
      </c>
      <c r="H11" s="27"/>
      <c r="I11" s="5">
        <v>7</v>
      </c>
      <c r="J11" s="8">
        <v>0</v>
      </c>
      <c r="K11" s="26">
        <v>40</v>
      </c>
      <c r="L11" s="27"/>
      <c r="M11" s="5">
        <v>7</v>
      </c>
      <c r="N11" s="8">
        <v>0</v>
      </c>
      <c r="O11" s="26">
        <v>50</v>
      </c>
      <c r="P11" s="27"/>
    </row>
    <row r="12" spans="1:16" x14ac:dyDescent="0.25">
      <c r="A12" s="40"/>
      <c r="B12" s="48" t="s">
        <v>27</v>
      </c>
      <c r="C12" s="48"/>
      <c r="D12" s="4">
        <v>69</v>
      </c>
      <c r="E12" s="6">
        <v>8</v>
      </c>
      <c r="F12" s="8">
        <v>0</v>
      </c>
      <c r="G12" s="28">
        <v>50</v>
      </c>
      <c r="H12" s="29"/>
      <c r="I12" s="6">
        <v>8</v>
      </c>
      <c r="J12" s="8">
        <v>0</v>
      </c>
      <c r="K12" s="28">
        <v>50</v>
      </c>
      <c r="L12" s="29"/>
      <c r="M12" s="6">
        <v>8</v>
      </c>
      <c r="N12" s="8">
        <v>0</v>
      </c>
      <c r="O12" s="28">
        <v>60</v>
      </c>
      <c r="P12" s="29"/>
    </row>
    <row r="13" spans="1:16" x14ac:dyDescent="0.25">
      <c r="A13" s="40"/>
      <c r="B13" s="48" t="s">
        <v>21</v>
      </c>
      <c r="C13" s="48"/>
      <c r="D13" s="4">
        <f>IF((F16+I16+L16+O16)&gt; 11, "Too many players",IF(D11=10,G14,IF(D11=9,G13,IF(D11=8,G12,IF(D11=7,G11,IF(D11=6,G10,IF(D11=5,G9,IF(D11=4,G8,IF(D11=3,G7,IF(D11=2,G6,IF(D11=1,G5,IF(D11=0,G4))))))))))))</f>
        <v>10</v>
      </c>
      <c r="E13" s="5">
        <v>9</v>
      </c>
      <c r="F13" s="8">
        <v>0</v>
      </c>
      <c r="G13" s="26">
        <v>60</v>
      </c>
      <c r="H13" s="27"/>
      <c r="I13" s="5">
        <v>9</v>
      </c>
      <c r="J13" s="8">
        <v>0</v>
      </c>
      <c r="K13" s="26">
        <v>60</v>
      </c>
      <c r="L13" s="27"/>
      <c r="M13" s="5">
        <v>9</v>
      </c>
      <c r="N13" s="8">
        <v>0</v>
      </c>
      <c r="O13" s="26">
        <v>70</v>
      </c>
      <c r="P13" s="27"/>
    </row>
    <row r="14" spans="1:16" ht="15.75" thickBot="1" x14ac:dyDescent="0.3">
      <c r="A14" s="41"/>
      <c r="B14" s="43" t="s">
        <v>28</v>
      </c>
      <c r="C14" s="43"/>
      <c r="D14" s="12">
        <f>IF((F16+I16+L16+O16)&gt; 11, "Too many players",(D12/100)*D13+D12)</f>
        <v>75.900000000000006</v>
      </c>
      <c r="E14" s="7">
        <v>10</v>
      </c>
      <c r="F14" s="9">
        <v>0</v>
      </c>
      <c r="G14" s="44">
        <v>70</v>
      </c>
      <c r="H14" s="45"/>
      <c r="I14" s="7">
        <v>10</v>
      </c>
      <c r="J14" s="9">
        <v>0</v>
      </c>
      <c r="K14" s="44">
        <v>70</v>
      </c>
      <c r="L14" s="45"/>
      <c r="M14" s="7">
        <v>10</v>
      </c>
      <c r="N14" s="9">
        <v>0</v>
      </c>
      <c r="O14" s="44">
        <v>80</v>
      </c>
      <c r="P14" s="45"/>
    </row>
    <row r="15" spans="1:16" ht="15.75" thickBot="1" x14ac:dyDescent="0.3">
      <c r="A15" s="42" t="s">
        <v>4</v>
      </c>
      <c r="B15" s="52" t="s">
        <v>26</v>
      </c>
      <c r="C15" s="52"/>
      <c r="D15" s="11">
        <f>IF((F16+I16+L16+O16)&gt; 11, "Too many players",L16)</f>
        <v>3</v>
      </c>
      <c r="E15" s="66" t="s">
        <v>29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8"/>
    </row>
    <row r="16" spans="1:16" ht="15.75" thickTop="1" x14ac:dyDescent="0.25">
      <c r="A16" s="40"/>
      <c r="B16" s="48" t="s">
        <v>27</v>
      </c>
      <c r="C16" s="48"/>
      <c r="D16" s="16">
        <v>74</v>
      </c>
      <c r="E16" s="49" t="s">
        <v>6</v>
      </c>
      <c r="F16" s="69">
        <v>1</v>
      </c>
      <c r="G16" s="70"/>
      <c r="H16" s="75" t="s">
        <v>5</v>
      </c>
      <c r="I16" s="78">
        <v>4</v>
      </c>
      <c r="J16" s="79"/>
      <c r="K16" s="84" t="s">
        <v>4</v>
      </c>
      <c r="L16" s="87">
        <v>3</v>
      </c>
      <c r="M16" s="88"/>
      <c r="N16" s="93" t="s">
        <v>3</v>
      </c>
      <c r="O16" s="96">
        <v>3</v>
      </c>
      <c r="P16" s="96"/>
    </row>
    <row r="17" spans="1:16" x14ac:dyDescent="0.25">
      <c r="A17" s="40"/>
      <c r="B17" s="48" t="s">
        <v>21</v>
      </c>
      <c r="C17" s="48"/>
      <c r="D17" s="16">
        <f>IF((F16+I16+L16+O16)&gt; 11, "Too many players",IF(D15=10,K14,IF(D15=9,K13,IF(D15=8,K12,IF(D15=7,K11,IF(D15=6,K10,IF(D15=5,K9,IF(D15=4,K8,IF(D15=3,K7,IF(D15=2,K6,IF(D15=1,K5,IF(D15=0,K4))))))))))))</f>
        <v>0</v>
      </c>
      <c r="E17" s="50"/>
      <c r="F17" s="71"/>
      <c r="G17" s="72"/>
      <c r="H17" s="76"/>
      <c r="I17" s="80"/>
      <c r="J17" s="81"/>
      <c r="K17" s="85"/>
      <c r="L17" s="89"/>
      <c r="M17" s="90"/>
      <c r="N17" s="94"/>
      <c r="O17" s="97"/>
      <c r="P17" s="97"/>
    </row>
    <row r="18" spans="1:16" ht="15.75" thickBot="1" x14ac:dyDescent="0.3">
      <c r="A18" s="41"/>
      <c r="B18" s="43" t="s">
        <v>28</v>
      </c>
      <c r="C18" s="43"/>
      <c r="D18" s="17">
        <f>IF((F16+I16+L16+O16)&gt; 11, "Too many players",(D16/100)*D17+D16)</f>
        <v>74</v>
      </c>
      <c r="E18" s="50"/>
      <c r="F18" s="71"/>
      <c r="G18" s="72"/>
      <c r="H18" s="76"/>
      <c r="I18" s="80"/>
      <c r="J18" s="81"/>
      <c r="K18" s="85"/>
      <c r="L18" s="89"/>
      <c r="M18" s="90"/>
      <c r="N18" s="94"/>
      <c r="O18" s="97"/>
      <c r="P18" s="97"/>
    </row>
    <row r="19" spans="1:16" x14ac:dyDescent="0.25">
      <c r="A19" s="40" t="s">
        <v>3</v>
      </c>
      <c r="B19" s="48" t="s">
        <v>26</v>
      </c>
      <c r="C19" s="48"/>
      <c r="D19" s="16">
        <f>IF((F16+I16+L16+O16)&gt; 11, "Too many players",O16)</f>
        <v>3</v>
      </c>
      <c r="E19" s="50"/>
      <c r="F19" s="71"/>
      <c r="G19" s="72"/>
      <c r="H19" s="76"/>
      <c r="I19" s="80"/>
      <c r="J19" s="81"/>
      <c r="K19" s="85"/>
      <c r="L19" s="89"/>
      <c r="M19" s="90"/>
      <c r="N19" s="94"/>
      <c r="O19" s="97"/>
      <c r="P19" s="97"/>
    </row>
    <row r="20" spans="1:16" x14ac:dyDescent="0.25">
      <c r="A20" s="40"/>
      <c r="B20" s="48" t="s">
        <v>27</v>
      </c>
      <c r="C20" s="48"/>
      <c r="D20" s="16">
        <v>78</v>
      </c>
      <c r="E20" s="50"/>
      <c r="F20" s="71"/>
      <c r="G20" s="72"/>
      <c r="H20" s="76"/>
      <c r="I20" s="80"/>
      <c r="J20" s="81"/>
      <c r="K20" s="85"/>
      <c r="L20" s="89"/>
      <c r="M20" s="90"/>
      <c r="N20" s="94"/>
      <c r="O20" s="97"/>
      <c r="P20" s="97"/>
    </row>
    <row r="21" spans="1:16" x14ac:dyDescent="0.25">
      <c r="A21" s="40"/>
      <c r="B21" s="48" t="s">
        <v>21</v>
      </c>
      <c r="C21" s="48"/>
      <c r="D21" s="16">
        <f>IF((F16+I16+L16+O16)&gt; 11, "Too many players",IF(D19=10,O14,IF(D19=9,O13,IF(D19=8,O12,IF(D19=7,O11,IF(D19=6,O10,IF(D19=5,O9,IF(D19=4,O8,IF(D19=3,O7,IF(D19=2,O6,IF(D19=1,O5,IF(D19=0,O4))))))))))))</f>
        <v>10</v>
      </c>
      <c r="E21" s="50"/>
      <c r="F21" s="71"/>
      <c r="G21" s="72"/>
      <c r="H21" s="76"/>
      <c r="I21" s="80"/>
      <c r="J21" s="81"/>
      <c r="K21" s="85"/>
      <c r="L21" s="89"/>
      <c r="M21" s="90"/>
      <c r="N21" s="94"/>
      <c r="O21" s="97"/>
      <c r="P21" s="97"/>
    </row>
    <row r="22" spans="1:16" ht="15.75" thickBot="1" x14ac:dyDescent="0.3">
      <c r="A22" s="41"/>
      <c r="B22" s="43" t="s">
        <v>28</v>
      </c>
      <c r="C22" s="43"/>
      <c r="D22" s="17">
        <f>IF((F16+I16+L16+O16)&gt; 11, "Too many players",(D20/100)*D21+D20)</f>
        <v>85.8</v>
      </c>
      <c r="E22" s="51"/>
      <c r="F22" s="73"/>
      <c r="G22" s="74"/>
      <c r="H22" s="77"/>
      <c r="I22" s="82"/>
      <c r="J22" s="83"/>
      <c r="K22" s="86"/>
      <c r="L22" s="91"/>
      <c r="M22" s="92"/>
      <c r="N22" s="95"/>
      <c r="O22" s="98"/>
      <c r="P22" s="98"/>
    </row>
    <row r="23" spans="1:16" x14ac:dyDescent="0.25">
      <c r="A23" s="36" t="s">
        <v>28</v>
      </c>
      <c r="B23" s="37"/>
      <c r="C23" s="63">
        <f>IF((F16+I16+L16+O16)&gt; 11, "Too many players",(D10+D14+D18+D22))</f>
        <v>313.7</v>
      </c>
      <c r="D23" s="64"/>
      <c r="E23" s="57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9"/>
    </row>
    <row r="24" spans="1:16" ht="15.75" thickBot="1" x14ac:dyDescent="0.3">
      <c r="A24" s="38"/>
      <c r="B24" s="39"/>
      <c r="C24" s="65"/>
      <c r="D24" s="62"/>
      <c r="E24" s="60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2"/>
    </row>
  </sheetData>
  <mergeCells count="77">
    <mergeCell ref="E23:P24"/>
    <mergeCell ref="C23:D24"/>
    <mergeCell ref="E15:P15"/>
    <mergeCell ref="F16:G22"/>
    <mergeCell ref="H16:H22"/>
    <mergeCell ref="I16:J22"/>
    <mergeCell ref="K16:K22"/>
    <mergeCell ref="L16:M22"/>
    <mergeCell ref="N16:N22"/>
    <mergeCell ref="O16:P22"/>
    <mergeCell ref="B18:C18"/>
    <mergeCell ref="B19:C19"/>
    <mergeCell ref="B20:C20"/>
    <mergeCell ref="B15:C15"/>
    <mergeCell ref="B16:C16"/>
    <mergeCell ref="A7:A10"/>
    <mergeCell ref="B7:C7"/>
    <mergeCell ref="B8:C8"/>
    <mergeCell ref="B9:C9"/>
    <mergeCell ref="B10:C10"/>
    <mergeCell ref="O9:P9"/>
    <mergeCell ref="O10:P10"/>
    <mergeCell ref="G7:H7"/>
    <mergeCell ref="G8:H8"/>
    <mergeCell ref="G9:H9"/>
    <mergeCell ref="K8:L8"/>
    <mergeCell ref="C5:D5"/>
    <mergeCell ref="M2:P2"/>
    <mergeCell ref="E2:H2"/>
    <mergeCell ref="G3:H3"/>
    <mergeCell ref="G5:H5"/>
    <mergeCell ref="K4:L4"/>
    <mergeCell ref="O4:P4"/>
    <mergeCell ref="G4:H4"/>
    <mergeCell ref="A2:D2"/>
    <mergeCell ref="C3:D3"/>
    <mergeCell ref="C4:D4"/>
    <mergeCell ref="G6:H6"/>
    <mergeCell ref="G10:H10"/>
    <mergeCell ref="B17:C17"/>
    <mergeCell ref="K14:L14"/>
    <mergeCell ref="K3:L3"/>
    <mergeCell ref="K13:L13"/>
    <mergeCell ref="E16:E22"/>
    <mergeCell ref="B21:C21"/>
    <mergeCell ref="A6:D6"/>
    <mergeCell ref="B11:C11"/>
    <mergeCell ref="B12:C12"/>
    <mergeCell ref="B13:C13"/>
    <mergeCell ref="B14:C14"/>
    <mergeCell ref="K9:L9"/>
    <mergeCell ref="K6:L6"/>
    <mergeCell ref="K7:L7"/>
    <mergeCell ref="A1:P1"/>
    <mergeCell ref="I2:L2"/>
    <mergeCell ref="A23:B24"/>
    <mergeCell ref="A19:A22"/>
    <mergeCell ref="A15:A18"/>
    <mergeCell ref="A11:A14"/>
    <mergeCell ref="B22:C22"/>
    <mergeCell ref="G14:H14"/>
    <mergeCell ref="O14:P14"/>
    <mergeCell ref="O3:P3"/>
    <mergeCell ref="O5:P5"/>
    <mergeCell ref="O6:P6"/>
    <mergeCell ref="O7:P7"/>
    <mergeCell ref="O8:P8"/>
    <mergeCell ref="K10:L10"/>
    <mergeCell ref="K5:L5"/>
    <mergeCell ref="G11:H11"/>
    <mergeCell ref="G12:H12"/>
    <mergeCell ref="G13:H13"/>
    <mergeCell ref="O11:P11"/>
    <mergeCell ref="O12:P12"/>
    <mergeCell ref="O13:P13"/>
    <mergeCell ref="K11:L11"/>
    <mergeCell ref="K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RATING</vt:lpstr>
      <vt:lpstr>OVERALL 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Hampachel</dc:creator>
  <cp:lastModifiedBy>Vincent</cp:lastModifiedBy>
  <dcterms:created xsi:type="dcterms:W3CDTF">2015-06-05T18:19:34Z</dcterms:created>
  <dcterms:modified xsi:type="dcterms:W3CDTF">2020-03-03T14:38:39Z</dcterms:modified>
</cp:coreProperties>
</file>